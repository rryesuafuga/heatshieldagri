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sz val="11"/>
    </font>
    <font>
      <b val="1"/>
      <color rgb="00FFFFFF"/>
    </font>
    <font>
      <b val="1"/>
    </font>
    <font>
      <b val="1"/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6" fillId="0" borderId="1" pivotButton="0" quotePrefix="0" xfId="0"/>
    <xf numFmtId="164" fontId="5" fillId="0" borderId="1" pivotButton="0" quotePrefix="0" xfId="0"/>
    <xf numFmtId="0" fontId="7" fillId="4" borderId="1" pivotButton="0" quotePrefix="0" xfId="0"/>
    <xf numFmtId="0" fontId="0" fillId="4" borderId="1" pivotButton="0" quotePrefix="0" xfId="0"/>
    <xf numFmtId="164" fontId="7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5" customWidth="1" min="4" max="4"/>
    <col width="40" customWidth="1" min="5" max="5"/>
  </cols>
  <sheetData>
    <row r="1">
      <c r="A1" s="1" t="inlineStr">
        <is>
          <t>HeatShield Agri - Proposed Budget</t>
        </is>
      </c>
    </row>
    <row r="2">
      <c r="A2" s="2" t="inlineStr">
        <is>
          <t>Activate AI: Economic Opportunity Challenge</t>
        </is>
      </c>
    </row>
    <row r="3">
      <c r="A3" s="3" t="inlineStr">
        <is>
          <t>Grant Amount Requested: $115,000 USD</t>
        </is>
      </c>
    </row>
    <row r="5">
      <c r="A5" s="4" t="inlineStr">
        <is>
          <t>Budget Category / Line Item</t>
        </is>
      </c>
      <c r="B5" s="4" t="inlineStr">
        <is>
          <t>Unit Cost (USD)</t>
        </is>
      </c>
      <c r="C5" s="4" t="inlineStr">
        <is>
          <t>Quantity</t>
        </is>
      </c>
      <c r="D5" s="4" t="inlineStr">
        <is>
          <t>Total (USD)</t>
        </is>
      </c>
      <c r="E5" s="4" t="inlineStr">
        <is>
          <t>Notes / Justification</t>
        </is>
      </c>
    </row>
    <row r="6">
      <c r="A6" s="5" t="inlineStr">
        <is>
          <t>1. PERSONNEL</t>
        </is>
      </c>
      <c r="B6" s="6" t="n"/>
      <c r="C6" s="6" t="n"/>
      <c r="D6" s="6" t="n"/>
      <c r="E6" s="6" t="n"/>
    </row>
    <row r="7">
      <c r="A7" s="7" t="inlineStr">
        <is>
          <t>Project Lead / Technical Director (0.5 FTE)</t>
        </is>
      </c>
      <c r="B7" s="8" t="n">
        <v>3000</v>
      </c>
      <c r="C7" s="7" t="n">
        <v>12</v>
      </c>
      <c r="D7" s="8">
        <f>B7*C7</f>
        <v/>
      </c>
      <c r="E7" s="9" t="inlineStr">
        <is>
          <t>Lead developer, ML engineer - 50% time over 12 months</t>
        </is>
      </c>
    </row>
    <row r="8">
      <c r="A8" s="7" t="inlineStr">
        <is>
          <t>Data Scientist / Backend Developer</t>
        </is>
      </c>
      <c r="B8" s="8" t="n">
        <v>2000</v>
      </c>
      <c r="C8" s="7" t="n">
        <v>8</v>
      </c>
      <c r="D8" s="8">
        <f>B8*C8</f>
        <v/>
      </c>
      <c r="E8" s="9" t="inlineStr">
        <is>
          <t>Full-time for 8 months - model development, API</t>
        </is>
      </c>
    </row>
    <row r="9">
      <c r="A9" s="7" t="inlineStr">
        <is>
          <t>Community Engagement Coordinator</t>
        </is>
      </c>
      <c r="B9" s="8" t="n">
        <v>1000</v>
      </c>
      <c r="C9" s="7" t="n">
        <v>10</v>
      </c>
      <c r="D9" s="8">
        <f>B9*C9</f>
        <v/>
      </c>
      <c r="E9" s="9" t="inlineStr">
        <is>
          <t>Local hire - farmer outreach, training, feedback</t>
        </is>
      </c>
    </row>
    <row r="10">
      <c r="A10" s="7" t="inlineStr">
        <is>
          <t>Extension Worker Training Stipends</t>
        </is>
      </c>
      <c r="B10" s="8" t="n">
        <v>50</v>
      </c>
      <c r="C10" s="7" t="n">
        <v>20</v>
      </c>
      <c r="D10" s="8">
        <f>B10*C10</f>
        <v/>
      </c>
      <c r="E10" s="9" t="inlineStr">
        <is>
          <t>20 extension workers × $50 training stipend</t>
        </is>
      </c>
    </row>
    <row r="11">
      <c r="A11" s="10" t="inlineStr">
        <is>
          <t>Subtotal - 1. PERSONNEL</t>
        </is>
      </c>
      <c r="B11" s="7" t="n"/>
      <c r="C11" s="7" t="n"/>
      <c r="D11" s="11">
        <f>SUM(D7:D10)</f>
        <v/>
      </c>
      <c r="E11" s="7" t="n"/>
    </row>
    <row r="12">
      <c r="A12" s="5" t="inlineStr">
        <is>
          <t>2. TECHNOLOGY &amp; INFRASTRUCTURE</t>
        </is>
      </c>
      <c r="B12" s="6" t="n"/>
      <c r="C12" s="6" t="n"/>
      <c r="D12" s="6" t="n"/>
      <c r="E12" s="6" t="n"/>
    </row>
    <row r="13">
      <c r="A13" s="7" t="inlineStr">
        <is>
          <t>Cloud Hosting (AWS/Vercel)</t>
        </is>
      </c>
      <c r="B13" s="8" t="n">
        <v>200</v>
      </c>
      <c r="C13" s="7" t="n">
        <v>12</v>
      </c>
      <c r="D13" s="8">
        <f>B13*C13</f>
        <v/>
      </c>
      <c r="E13" s="9" t="inlineStr">
        <is>
          <t>Web platform, API, database hosting</t>
        </is>
      </c>
    </row>
    <row r="14">
      <c r="A14" s="7" t="inlineStr">
        <is>
          <t>SMS Gateway Credits (Africa's Talking)</t>
        </is>
      </c>
      <c r="B14" s="8" t="n">
        <v>0.02</v>
      </c>
      <c r="C14" s="7" t="n">
        <v>50000</v>
      </c>
      <c r="D14" s="8">
        <f>B14*C14</f>
        <v/>
      </c>
      <c r="E14" s="9" t="inlineStr">
        <is>
          <t>50,000 SMS messages at $0.02/message</t>
        </is>
      </c>
    </row>
    <row r="15">
      <c r="A15" s="7" t="inlineStr">
        <is>
          <t>USSD Short Code Registration</t>
        </is>
      </c>
      <c r="B15" s="8" t="n">
        <v>500</v>
      </c>
      <c r="C15" s="7" t="n">
        <v>1</v>
      </c>
      <c r="D15" s="8">
        <f>B15*C15</f>
        <v/>
      </c>
      <c r="E15" s="9" t="inlineStr">
        <is>
          <t>Annual USSD short code licensing</t>
        </is>
      </c>
    </row>
    <row r="16">
      <c r="A16" s="7" t="inlineStr">
        <is>
          <t>Domain &amp; SSL Certificates</t>
        </is>
      </c>
      <c r="B16" s="8" t="n">
        <v>100</v>
      </c>
      <c r="C16" s="7" t="n">
        <v>1</v>
      </c>
      <c r="D16" s="8">
        <f>B16*C16</f>
        <v/>
      </c>
      <c r="E16" s="9" t="inlineStr">
        <is>
          <t>Annual domain and security</t>
        </is>
      </c>
    </row>
    <row r="17">
      <c r="A17" s="7" t="inlineStr">
        <is>
          <t>Mobile Data for Field Testing</t>
        </is>
      </c>
      <c r="B17" s="8" t="n">
        <v>50</v>
      </c>
      <c r="C17" s="7" t="n">
        <v>12</v>
      </c>
      <c r="D17" s="8">
        <f>B17*C17</f>
        <v/>
      </c>
      <c r="E17" s="9" t="inlineStr">
        <is>
          <t>Monthly data packages for field team</t>
        </is>
      </c>
    </row>
    <row r="18">
      <c r="A18" s="10" t="inlineStr">
        <is>
          <t>Subtotal - 2. TECHNOLOGY &amp; INFRASTRUCTURE</t>
        </is>
      </c>
      <c r="B18" s="7" t="n"/>
      <c r="C18" s="7" t="n"/>
      <c r="D18" s="11">
        <f>SUM(D13:D17)</f>
        <v/>
      </c>
      <c r="E18" s="7" t="n"/>
    </row>
    <row r="19">
      <c r="A19" s="5" t="inlineStr">
        <is>
          <t>3. FIELD OPERATIONS</t>
        </is>
      </c>
      <c r="B19" s="6" t="n"/>
      <c r="C19" s="6" t="n"/>
      <c r="D19" s="6" t="n"/>
      <c r="E19" s="6" t="n"/>
    </row>
    <row r="20">
      <c r="A20" s="7" t="inlineStr">
        <is>
          <t>Pilot Community Mobilization</t>
        </is>
      </c>
      <c r="B20" s="8" t="n">
        <v>500</v>
      </c>
      <c r="C20" s="7" t="n">
        <v>4</v>
      </c>
      <c r="D20" s="8">
        <f>B20*C20</f>
        <v/>
      </c>
      <c r="E20" s="9" t="inlineStr">
        <is>
          <t>4 pilot districts - community meetings, sensitization</t>
        </is>
      </c>
    </row>
    <row r="21">
      <c r="A21" s="7" t="inlineStr">
        <is>
          <t>Farmer Registration Drives</t>
        </is>
      </c>
      <c r="B21" s="8" t="n">
        <v>300</v>
      </c>
      <c r="C21" s="7" t="n">
        <v>6</v>
      </c>
      <c r="D21" s="8">
        <f>B21*C21</f>
        <v/>
      </c>
      <c r="E21" s="9" t="inlineStr">
        <is>
          <t>6 registration events across pilot areas</t>
        </is>
      </c>
    </row>
    <row r="22">
      <c r="A22" s="7" t="inlineStr">
        <is>
          <t>Focus Group Discussions</t>
        </is>
      </c>
      <c r="B22" s="8" t="n">
        <v>150</v>
      </c>
      <c r="C22" s="7" t="n">
        <v>8</v>
      </c>
      <c r="D22" s="8">
        <f>B22*C22</f>
        <v/>
      </c>
      <c r="E22" s="9" t="inlineStr">
        <is>
          <t>8 FGDs for user feedback and co-design</t>
        </is>
      </c>
    </row>
    <row r="23">
      <c r="A23" s="7" t="inlineStr">
        <is>
          <t>Baseline/Endline Surveys</t>
        </is>
      </c>
      <c r="B23" s="8" t="n">
        <v>2000</v>
      </c>
      <c r="C23" s="7" t="n">
        <v>2</v>
      </c>
      <c r="D23" s="8">
        <f>B23*C23</f>
        <v/>
      </c>
      <c r="E23" s="9" t="inlineStr">
        <is>
          <t>Baseline and endline data collection</t>
        </is>
      </c>
    </row>
    <row r="24">
      <c r="A24" s="10" t="inlineStr">
        <is>
          <t>Subtotal - 3. FIELD OPERATIONS</t>
        </is>
      </c>
      <c r="B24" s="7" t="n"/>
      <c r="C24" s="7" t="n"/>
      <c r="D24" s="11">
        <f>SUM(D20:D23)</f>
        <v/>
      </c>
      <c r="E24" s="7" t="n"/>
    </row>
    <row r="25">
      <c r="A25" s="5" t="inlineStr">
        <is>
          <t>4. TRAVEL &amp; TRAINING</t>
        </is>
      </c>
      <c r="B25" s="6" t="n"/>
      <c r="C25" s="6" t="n"/>
      <c r="D25" s="6" t="n"/>
      <c r="E25" s="6" t="n"/>
    </row>
    <row r="26">
      <c r="A26" s="7" t="inlineStr">
        <is>
          <t>Field Visits (Kampala to pilot districts)</t>
        </is>
      </c>
      <c r="B26" s="8" t="n">
        <v>200</v>
      </c>
      <c r="C26" s="7" t="n">
        <v>15</v>
      </c>
      <c r="D26" s="8">
        <f>B26*C26</f>
        <v/>
      </c>
      <c r="E26" s="9" t="inlineStr">
        <is>
          <t>15 field trips for deployment &amp; monitoring</t>
        </is>
      </c>
    </row>
    <row r="27">
      <c r="A27" s="7" t="inlineStr">
        <is>
          <t>Extension Worker Training Workshops</t>
        </is>
      </c>
      <c r="B27" s="8" t="n">
        <v>500</v>
      </c>
      <c r="C27" s="7" t="n">
        <v>3</v>
      </c>
      <c r="D27" s="8">
        <f>B27*C27</f>
        <v/>
      </c>
      <c r="E27" s="9" t="inlineStr">
        <is>
          <t>3 training workshops - materials, venue, refreshments</t>
        </is>
      </c>
    </row>
    <row r="28">
      <c r="A28" s="7" t="inlineStr">
        <is>
          <t>Stakeholder Engagement Meetings</t>
        </is>
      </c>
      <c r="B28" s="8" t="n">
        <v>300</v>
      </c>
      <c r="C28" s="7" t="n">
        <v>4</v>
      </c>
      <c r="D28" s="8">
        <f>B28*C28</f>
        <v/>
      </c>
      <c r="E28" s="9" t="inlineStr">
        <is>
          <t>Ministry, cooperative, partner meetings</t>
        </is>
      </c>
    </row>
    <row r="29">
      <c r="A29" s="10" t="inlineStr">
        <is>
          <t>Subtotal - 4. TRAVEL &amp; TRAINING</t>
        </is>
      </c>
      <c r="B29" s="7" t="n"/>
      <c r="C29" s="7" t="n"/>
      <c r="D29" s="11">
        <f>SUM(D26:D28)</f>
        <v/>
      </c>
      <c r="E29" s="7" t="n"/>
    </row>
    <row r="30">
      <c r="A30" s="5" t="inlineStr">
        <is>
          <t>5. MONITORING &amp; EVALUATION</t>
        </is>
      </c>
      <c r="B30" s="6" t="n"/>
      <c r="C30" s="6" t="n"/>
      <c r="D30" s="6" t="n"/>
      <c r="E30" s="6" t="n"/>
    </row>
    <row r="31">
      <c r="A31" s="7" t="inlineStr">
        <is>
          <t>M&amp;E Consultant</t>
        </is>
      </c>
      <c r="B31" s="8" t="n">
        <v>1500</v>
      </c>
      <c r="C31" s="7" t="n">
        <v>2</v>
      </c>
      <c r="D31" s="8">
        <f>B31*C31</f>
        <v/>
      </c>
      <c r="E31" s="9" t="inlineStr">
        <is>
          <t>External evaluation at midline and endline</t>
        </is>
      </c>
    </row>
    <row r="32">
      <c r="A32" s="7" t="inlineStr">
        <is>
          <t>Data Analysis Tools</t>
        </is>
      </c>
      <c r="B32" s="8" t="n">
        <v>200</v>
      </c>
      <c r="C32" s="7" t="n">
        <v>1</v>
      </c>
      <c r="D32" s="8">
        <f>B32*C32</f>
        <v/>
      </c>
      <c r="E32" s="9" t="inlineStr">
        <is>
          <t>Statistical software, visualization tools</t>
        </is>
      </c>
    </row>
    <row r="33">
      <c r="A33" s="7" t="inlineStr">
        <is>
          <t>Impact Documentation</t>
        </is>
      </c>
      <c r="B33" s="8" t="n">
        <v>500</v>
      </c>
      <c r="C33" s="7" t="n">
        <v>1</v>
      </c>
      <c r="D33" s="8">
        <f>B33*C33</f>
        <v/>
      </c>
      <c r="E33" s="9" t="inlineStr">
        <is>
          <t>Case studies, lessons learned documentation</t>
        </is>
      </c>
    </row>
    <row r="34">
      <c r="A34" s="10" t="inlineStr">
        <is>
          <t>Subtotal - 5. MONITORING &amp; EVALUATION</t>
        </is>
      </c>
      <c r="B34" s="7" t="n"/>
      <c r="C34" s="7" t="n"/>
      <c r="D34" s="11">
        <f>SUM(D31:D33)</f>
        <v/>
      </c>
      <c r="E34" s="7" t="n"/>
    </row>
    <row r="35">
      <c r="A35" s="5" t="inlineStr">
        <is>
          <t>6. COMMUNICATIONS &amp; DISSEMINATION</t>
        </is>
      </c>
      <c r="B35" s="6" t="n"/>
      <c r="C35" s="6" t="n"/>
      <c r="D35" s="6" t="n"/>
      <c r="E35" s="6" t="n"/>
    </row>
    <row r="36">
      <c r="A36" s="7" t="inlineStr">
        <is>
          <t>IEC Materials (Posters, Flyers)</t>
        </is>
      </c>
      <c r="B36" s="8" t="n">
        <v>300</v>
      </c>
      <c r="C36" s="7" t="n">
        <v>1</v>
      </c>
      <c r="D36" s="8">
        <f>B36*C36</f>
        <v/>
      </c>
      <c r="E36" s="9" t="inlineStr">
        <is>
          <t>Printed materials in local languages</t>
        </is>
      </c>
    </row>
    <row r="37">
      <c r="A37" s="7" t="inlineStr">
        <is>
          <t>Radio Announcements (Rural)</t>
        </is>
      </c>
      <c r="B37" s="8" t="n">
        <v>100</v>
      </c>
      <c r="C37" s="7" t="n">
        <v>5</v>
      </c>
      <c r="D37" s="8">
        <f>B37*C37</f>
        <v/>
      </c>
      <c r="E37" s="9" t="inlineStr">
        <is>
          <t>Radio spots for farmer awareness</t>
        </is>
      </c>
    </row>
    <row r="38">
      <c r="A38" s="7" t="inlineStr">
        <is>
          <t>Project Website &amp; Documentation</t>
        </is>
      </c>
      <c r="B38" s="8" t="n">
        <v>300</v>
      </c>
      <c r="C38" s="7" t="n">
        <v>1</v>
      </c>
      <c r="D38" s="8">
        <f>B38*C38</f>
        <v/>
      </c>
      <c r="E38" s="9" t="inlineStr">
        <is>
          <t>Public documentation, open-source release</t>
        </is>
      </c>
    </row>
    <row r="39">
      <c r="A39" s="10" t="inlineStr">
        <is>
          <t>Subtotal - 6. COMMUNICATIONS &amp; DISSEMINATION</t>
        </is>
      </c>
      <c r="B39" s="7" t="n"/>
      <c r="C39" s="7" t="n"/>
      <c r="D39" s="11">
        <f>SUM(D36:D38)</f>
        <v/>
      </c>
      <c r="E39" s="7" t="n"/>
    </row>
    <row r="40">
      <c r="A40" s="5" t="inlineStr">
        <is>
          <t>7. ADMINISTRATIVE &amp; INDIRECT COSTS</t>
        </is>
      </c>
      <c r="B40" s="6" t="n"/>
      <c r="C40" s="6" t="n"/>
      <c r="D40" s="6" t="n"/>
      <c r="E40" s="6" t="n"/>
    </row>
    <row r="41">
      <c r="A41" s="7" t="inlineStr">
        <is>
          <t>Office Supplies &amp; Equipment</t>
        </is>
      </c>
      <c r="B41" s="8" t="n">
        <v>500</v>
      </c>
      <c r="C41" s="7" t="n">
        <v>1</v>
      </c>
      <c r="D41" s="8">
        <f>B41*C41</f>
        <v/>
      </c>
      <c r="E41" s="9" t="inlineStr">
        <is>
          <t>Minor equipment, supplies</t>
        </is>
      </c>
    </row>
    <row r="42">
      <c r="A42" s="7" t="inlineStr">
        <is>
          <t>Bank &amp; Transfer Fees</t>
        </is>
      </c>
      <c r="B42" s="8" t="n">
        <v>300</v>
      </c>
      <c r="C42" s="7" t="n">
        <v>1</v>
      </c>
      <c r="D42" s="8">
        <f>B42*C42</f>
        <v/>
      </c>
      <c r="E42" s="9" t="inlineStr">
        <is>
          <t>International transfer fees</t>
        </is>
      </c>
    </row>
    <row r="43">
      <c r="A43" s="7" t="inlineStr">
        <is>
          <t>Contingency (5%)</t>
        </is>
      </c>
      <c r="B43" s="8" t="n">
        <v>1</v>
      </c>
      <c r="C43" s="7" t="n">
        <v>1</v>
      </c>
      <c r="D43" s="8">
        <f>B43*C43</f>
        <v/>
      </c>
      <c r="E43" s="9" t="inlineStr">
        <is>
          <t>Contingency for unforeseen expenses</t>
        </is>
      </c>
    </row>
    <row r="44">
      <c r="A44" s="10" t="inlineStr">
        <is>
          <t>Subtotal - 7. ADMINISTRATIVE &amp; INDIRECT COSTS</t>
        </is>
      </c>
      <c r="B44" s="7" t="n"/>
      <c r="C44" s="7" t="n"/>
      <c r="D44" s="11">
        <f>SUM(D41:D43)</f>
        <v/>
      </c>
      <c r="E44" s="7" t="n"/>
    </row>
    <row r="46">
      <c r="A46" s="12" t="inlineStr">
        <is>
          <t>GRAND TOTAL</t>
        </is>
      </c>
      <c r="B46" s="13" t="n"/>
      <c r="C46" s="13" t="n"/>
      <c r="D46" s="14">
        <f>D11+D18+D24+D29+D34+D39+D44</f>
        <v/>
      </c>
    </row>
    <row r="49">
      <c r="A49" s="15" t="inlineStr">
        <is>
          <t>BUDGET NOTES:</t>
        </is>
      </c>
    </row>
    <row r="50">
      <c r="A50" t="inlineStr">
        <is>
          <t>• All costs are estimates based on Uganda market rates and operational requirements</t>
        </is>
      </c>
    </row>
    <row r="51">
      <c r="A51" t="inlineStr">
        <is>
          <t>• Personnel costs reflect part-time engagement allowing project lead to maintain other commitments</t>
        </is>
      </c>
    </row>
    <row r="52">
      <c r="A52" t="inlineStr">
        <is>
          <t>• SMS costs assume scaling to 10,000 farmers with average 5 messages per farmer during pilot</t>
        </is>
      </c>
    </row>
    <row r="53">
      <c r="A53" t="inlineStr">
        <is>
          <t>• Contingency calculated at 5% of direct costs for unforeseen operational needs</t>
        </is>
      </c>
    </row>
    <row r="54">
      <c r="A54" t="inlineStr">
        <is>
          <t>• Budget assumes 12-month implementation period</t>
        </is>
      </c>
    </row>
    <row r="55">
      <c r="A55" t="inlineStr">
        <is>
          <t>• Local currency conversions based on current UGX/USD exchange rates</t>
        </is>
      </c>
    </row>
  </sheetData>
  <mergeCells count="9">
    <mergeCell ref="A53:E53"/>
    <mergeCell ref="A55:E55"/>
    <mergeCell ref="A50:E50"/>
    <mergeCell ref="A2:E2"/>
    <mergeCell ref="A54:E54"/>
    <mergeCell ref="A52:E52"/>
    <mergeCell ref="A51:E5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2026-01-08T09:43:51Z</dcterms:created>
  <dcterms:modified xmlns:dcterms="http://purl.org/dc/terms/" xmlns:xsi="http://www.w3.org/2001/XMLSchema-instance" xsi:type="dcterms:W3CDTF">2026-01-08T09:43:51Z</dcterms:modified>
</cp:coreProperties>
</file>